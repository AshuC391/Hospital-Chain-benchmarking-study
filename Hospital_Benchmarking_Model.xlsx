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er_Data" sheetId="1" state="visible" r:id="rId3"/>
    <sheet name="Driver_Analysis" sheetId="2" state="visible" r:id="rId4"/>
    <sheet name="Lever_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Fortis reports ARPOB as Rs 2.51 Cr per annum: 2.51 x 10,000,000 / 365 days.</t>
        </r>
      </text>
    </comment>
  </commentList>
</comments>
</file>

<file path=xl/sharedStrings.xml><?xml version="1.0" encoding="utf-8"?>
<sst xmlns="http://schemas.openxmlformats.org/spreadsheetml/2006/main" count="82" uniqueCount="71">
  <si>
    <t xml:space="preserve">Indian listed hospital chains - FY26 (year ended 31 Mar 2026) benchmark</t>
  </si>
  <si>
    <t xml:space="preserve">Blue = hard-coded from public company disclosures (see Source column). N/D = not disclosed / not found; deliberately left blank, not estimated.</t>
  </si>
  <si>
    <t xml:space="preserve">Chain</t>
  </si>
  <si>
    <t xml:space="preserve">ARPOB (Rs/day)</t>
  </si>
  <si>
    <t xml:space="preserve">Occupancy</t>
  </si>
  <si>
    <t xml:space="preserve">EBITDA margin (hospital)</t>
  </si>
  <si>
    <t xml:space="preserve">ALOS (days)</t>
  </si>
  <si>
    <t xml:space="preserve">Revenue (Rs Cr)</t>
  </si>
  <si>
    <t xml:space="preserve">Margin basis / notes</t>
  </si>
  <si>
    <t xml:space="preserve">Source</t>
  </si>
  <si>
    <t xml:space="preserve">Max Healthcare</t>
  </si>
  <si>
    <t xml:space="preserve">Network gross revenue; operating EBITDA margin 26.2%. ARPOB = approx. average of 4 quarterly figures (78.0k, 77.3k, 77.9k, 77.9k). ALOS ~4.0-4.2 by quarter.</t>
  </si>
  <si>
    <t xml:space="preserve">Max Healthcare Q4 FY26 investor release to NSE, 21 May 2026; earnings call 29 May 2026</t>
  </si>
  <si>
    <t xml:space="preserve">Fortis Healthcare</t>
  </si>
  <si>
    <t xml:space="preserve">Hospital business only. ARPOB reported as Rs 2.51 Cr per annum per bed; converted to per-day in col B by formula. ALOS N/D for FY26.</t>
  </si>
  <si>
    <t xml:space="preserve">Fortis Q4 FY26 press release, 22 May 2026</t>
  </si>
  <si>
    <t xml:space="preserve">Medanta (Global Health)</t>
  </si>
  <si>
    <t xml:space="preserve">EBITDA incl. new Noida hospital 24.2% (25.7% ex-Noida). Revenue = total income. ALOS Q3 FY26 was 3.02 days (single quarter, not FY).</t>
  </si>
  <si>
    <t xml:space="preserve">Global Health Q4 FY26 results (via Medical Buyer summary of company release); Q3 FY26 call</t>
  </si>
  <si>
    <t xml:space="preserve">KIMS</t>
  </si>
  <si>
    <t xml:space="preserve">Standalone total revenue Rs 3,931 Cr. Mature units earn ~29.5-30% margin; new Maharashtra/Karnataka units dilute group margin.</t>
  </si>
  <si>
    <t xml:space="preserve">KIMS Q4 FY26 press release (16 May 2026); FY26 results summary</t>
  </si>
  <si>
    <t xml:space="preserve">Apollo Hospitals (Healthcare Services)</t>
  </si>
  <si>
    <t xml:space="preserve">Segment margin 24.4%. Occupancy is Q4 FY26 group-wide (68%). ARPOB N/D: Apollo reports ARPP (revenue per patient), which is a different metric.</t>
  </si>
  <si>
    <t xml:space="preserve">Apollo Q4 FY26 earnings summary / call transcript, May 2026</t>
  </si>
  <si>
    <t xml:space="preserve">Narayana Health (India hospitals)</t>
  </si>
  <si>
    <t xml:space="preserve">India hospital EBITDA margin 23.1%. Management says it does not report occupancy (indicates ~60-65%) and prefers ARPIP. Q4 FY26 ALOS 4.4 days.</t>
  </si>
  <si>
    <t xml:space="preserve">Narayana Q4 FY26 call and results summary, May 2026</t>
  </si>
  <si>
    <t xml:space="preserve">Peer medians (chains with full data)</t>
  </si>
  <si>
    <t xml:space="preserve">Cautions: (1) margin definitions differ (network vs hospital-only vs consolidated, pre/post Ind AS 116); (2) Medanta/KIMS/Apollo margins are diluted by new-hospital ramp-up; (3) ARPOB is not directly comparable across chains with different case mix and geography.</t>
  </si>
  <si>
    <t xml:space="preserve">Why do revenues per bed differ? Revenue per available bed = ARPOB x occupancy x 365</t>
  </si>
  <si>
    <t xml:space="preserve">Revenue per available bed (Rs lakh/yr)</t>
  </si>
  <si>
    <t xml:space="preserve">Index vs KIMS (=100)</t>
  </si>
  <si>
    <t xml:space="preserve">Gap vs Max (Rs lakh)</t>
  </si>
  <si>
    <t xml:space="preserve">...of which price (ARPOB) effect</t>
  </si>
  <si>
    <t xml:space="preserve">...of which occupancy effect</t>
  </si>
  <si>
    <t xml:space="preserve">Method: Gap vs Max = price effect + occupancy effect. Price effect = (ARPOB_chain - ARPOB_Max) x Max occupancy x 365. Occupancy effect = (Occ_chain - Occ_Max) x ARPOB_chain x 365. The two sum exactly to the gap. Only chains with both ARPOB and occupancy disclosed are included.</t>
  </si>
  <si>
    <t xml:space="preserve">Check: price + occupancy effect - gap (should be 0)</t>
  </si>
  <si>
    <t xml:space="preserve">Illustrative mid-sized chain: how much EBITDA do occupancy and length-of-stay levers add?</t>
  </si>
  <si>
    <t xml:space="preserve">HYPOTHETICAL chain, not a real company. Blue cells are assumptions you can change (yellow = key assumptions). Base values set near the lower half of the peer range.</t>
  </si>
  <si>
    <t xml:space="preserve">Operational beds</t>
  </si>
  <si>
    <t xml:space="preserve">Assumption: a mid-sized chain (peers range ~3,000-5,000+ beds).</t>
  </si>
  <si>
    <t xml:space="preserve">Base occupancy</t>
  </si>
  <si>
    <t xml:space="preserve">Assumption: between KIMS (50.5%) and peer median.</t>
  </si>
  <si>
    <t xml:space="preserve">Base ARPOB (Rs/day)</t>
  </si>
  <si>
    <t xml:space="preserve">Assumption: between KIMS (44,644) and Medanta/Fortis (~67-69k).</t>
  </si>
  <si>
    <t xml:space="preserve">Base EBITDA margin</t>
  </si>
  <si>
    <t xml:space="preserve">Assumption: within observed 21-26% peer range, slightly below.</t>
  </si>
  <si>
    <t xml:space="preserve">Contribution margin on incremental revenue</t>
  </si>
  <si>
    <t xml:space="preserve">KEY ASSUMPTION: share of each extra rupee of revenue that drops to EBITDA (the rest is variable cost: consumables, doctor fees, etc.). Not publicly disclosed; tested in sensitivity below.</t>
  </si>
  <si>
    <t xml:space="preserve">Base ALOS (days)</t>
  </si>
  <si>
    <t xml:space="preserve">Assumption: peers range 3.57 (KIMS) to ~4.1 (Max).</t>
  </si>
  <si>
    <t xml:space="preserve">Occupancy lever (percentage points)</t>
  </si>
  <si>
    <t xml:space="preserve">Scenario lever.</t>
  </si>
  <si>
    <t xml:space="preserve">ALOS reduction (days)</t>
  </si>
  <si>
    <t xml:space="preserve">ARPOB uplift per 1% ALOS reduction</t>
  </si>
  <si>
    <t xml:space="preserve">KEY ASSUMPTION: shorter stays raise revenue per bed-day because expensive days (surgery, ICU) are front-loaded. Medanta Q3 FY26: ALOS -6.6% with ARPOB +9.9% (but case mix also changed), so 0.5 is deliberately conservative.</t>
  </si>
  <si>
    <t xml:space="preserve">BASE CASE</t>
  </si>
  <si>
    <t xml:space="preserve">EBITDA (Rs Cr)</t>
  </si>
  <si>
    <t xml:space="preserve">Fixed-cost-equivalent (Rs Cr) = Revenue x Contribution margin - EBITDA</t>
  </si>
  <si>
    <t xml:space="preserve">SCENARIOS</t>
  </si>
  <si>
    <t xml:space="preserve">Scenario</t>
  </si>
  <si>
    <t xml:space="preserve">EBITDA change (Rs Cr)</t>
  </si>
  <si>
    <t xml:space="preserve">EBITDA change %</t>
  </si>
  <si>
    <t xml:space="preserve">New EBITDA margin</t>
  </si>
  <si>
    <t xml:space="preserve">1. Occupancy +5 pts (price &amp; ALOS unchanged)</t>
  </si>
  <si>
    <t xml:space="preserve">2. ALOS -0.5 day (freed beds refilled; ARPOB rises)</t>
  </si>
  <si>
    <t xml:space="preserve">3. Both levers together</t>
  </si>
  <si>
    <t xml:space="preserve">Note: scenario 2 assumes demand exists to refill freed beds (otherwise occupancy falls). Scenario 3 is a simple product, not additive.</t>
  </si>
  <si>
    <t xml:space="preserve">SENSITIVITY: EBITDA gain (Rs Cr) from +5 pt occupancy, by contribution margin and base ARPOB</t>
  </si>
  <si>
    <t xml:space="preserve">Contribution margin -&gt;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</si>
</sst>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&quot;N/D&quot;"/>
    <numFmt numFmtId="166" formatCode="0.0%;\(0.0%\);&quot;N/D&quot;"/>
    <numFmt numFmtId="167" formatCode="0.0%"/>
    <numFmt numFmtId="168" formatCode="0.00;\(0.00\);&quot;N/D&quot;"/>
    <numFmt numFmtId="169" formatCode="#,##0"/>
    <numFmt numFmtId="170" formatCode="0.00"/>
    <numFmt numFmtId="171" formatCode="#,##0.0;\(#,##0.0\);\-"/>
    <numFmt numFmtId="172" formatCode="0"/>
    <numFmt numFmtId="173" formatCode="0.00;\-0.00;0.00"/>
    <numFmt numFmtId="174" formatCode="#,##0.0"/>
    <numFmt numFmtId="175" formatCode="0%"/>
    <numFmt numFmtId="176" formatCode="&quot;ARPOB Rs 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6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0" hidden="false" customHeight="true" outlineLevel="0" collapsed="false">
      <c r="A5" s="4" t="s">
        <v>10</v>
      </c>
      <c r="B5" s="5" t="n">
        <v>77800</v>
      </c>
      <c r="C5" s="6" t="n">
        <v>0.76</v>
      </c>
      <c r="D5" s="7" t="n">
        <v>0.262</v>
      </c>
      <c r="E5" s="8" t="n">
        <v>4.1</v>
      </c>
      <c r="F5" s="5" t="n">
        <v>10538</v>
      </c>
      <c r="G5" s="4" t="s">
        <v>11</v>
      </c>
      <c r="H5" s="4" t="s">
        <v>12</v>
      </c>
    </row>
    <row r="6" customFormat="false" ht="60" hidden="false" customHeight="true" outlineLevel="0" collapsed="false">
      <c r="A6" s="4" t="s">
        <v>13</v>
      </c>
      <c r="B6" s="9" t="n">
        <f aca="false">2.51*10000000/365</f>
        <v>68767.1232876712</v>
      </c>
      <c r="C6" s="6" t="n">
        <v>0.68</v>
      </c>
      <c r="D6" s="7" t="n">
        <v>0.222</v>
      </c>
      <c r="E6" s="10"/>
      <c r="F6" s="5" t="n">
        <v>7773</v>
      </c>
      <c r="G6" s="4" t="s">
        <v>14</v>
      </c>
      <c r="H6" s="4" t="s">
        <v>15</v>
      </c>
    </row>
    <row r="7" customFormat="false" ht="60" hidden="false" customHeight="true" outlineLevel="0" collapsed="false">
      <c r="A7" s="4" t="s">
        <v>16</v>
      </c>
      <c r="B7" s="5" t="n">
        <v>66550</v>
      </c>
      <c r="C7" s="6" t="n">
        <v>0.62</v>
      </c>
      <c r="D7" s="7" t="n">
        <v>0.242</v>
      </c>
      <c r="E7" s="10"/>
      <c r="F7" s="5" t="n">
        <v>4509</v>
      </c>
      <c r="G7" s="4" t="s">
        <v>17</v>
      </c>
      <c r="H7" s="4" t="s">
        <v>18</v>
      </c>
    </row>
    <row r="8" customFormat="false" ht="60" hidden="false" customHeight="true" outlineLevel="0" collapsed="false">
      <c r="A8" s="4" t="s">
        <v>19</v>
      </c>
      <c r="B8" s="5" t="n">
        <v>44644</v>
      </c>
      <c r="C8" s="6" t="n">
        <v>0.505</v>
      </c>
      <c r="D8" s="7" t="n">
        <v>0.211</v>
      </c>
      <c r="E8" s="8" t="n">
        <v>3.57</v>
      </c>
      <c r="F8" s="5" t="n">
        <v>3931</v>
      </c>
      <c r="G8" s="4" t="s">
        <v>20</v>
      </c>
      <c r="H8" s="4" t="s">
        <v>21</v>
      </c>
    </row>
    <row r="9" customFormat="false" ht="60" hidden="false" customHeight="true" outlineLevel="0" collapsed="false">
      <c r="A9" s="4" t="s">
        <v>22</v>
      </c>
      <c r="B9" s="9"/>
      <c r="C9" s="6" t="n">
        <v>0.68</v>
      </c>
      <c r="D9" s="7" t="n">
        <v>0.244</v>
      </c>
      <c r="E9" s="10"/>
      <c r="F9" s="5" t="n">
        <v>12555</v>
      </c>
      <c r="G9" s="4" t="s">
        <v>23</v>
      </c>
      <c r="H9" s="4" t="s">
        <v>24</v>
      </c>
    </row>
    <row r="10" customFormat="false" ht="60" hidden="false" customHeight="true" outlineLevel="0" collapsed="false">
      <c r="A10" s="4" t="s">
        <v>25</v>
      </c>
      <c r="B10" s="9"/>
      <c r="C10" s="11"/>
      <c r="D10" s="7" t="n">
        <v>0.231</v>
      </c>
      <c r="E10" s="10"/>
      <c r="F10" s="9"/>
      <c r="G10" s="4" t="s">
        <v>26</v>
      </c>
      <c r="H10" s="4" t="s">
        <v>27</v>
      </c>
    </row>
    <row r="12" customFormat="false" ht="15" hidden="false" customHeight="false" outlineLevel="0" collapsed="false">
      <c r="A12" s="12" t="s">
        <v>28</v>
      </c>
      <c r="B12" s="13" t="n">
        <f aca="false">MEDIAN(B5:B10)</f>
        <v>67658.5616438356</v>
      </c>
      <c r="C12" s="14" t="n">
        <f aca="false">MEDIAN(C5:C10)</f>
        <v>0.68</v>
      </c>
      <c r="D12" s="14" t="n">
        <f aca="false">MEDIAN(D5:D10)</f>
        <v>0.2365</v>
      </c>
      <c r="E12" s="15" t="n">
        <f aca="false">MEDIAN(E5:E10)</f>
        <v>3.835</v>
      </c>
    </row>
    <row r="14" customFormat="false" ht="45" hidden="false" customHeight="true" outlineLevel="0" collapsed="false">
      <c r="A14" s="16" t="s">
        <v>29</v>
      </c>
      <c r="B14" s="16"/>
      <c r="C14" s="16"/>
      <c r="D14" s="16"/>
      <c r="E14" s="16"/>
      <c r="F14" s="16"/>
      <c r="G14" s="16"/>
      <c r="H14" s="16"/>
    </row>
  </sheetData>
  <mergeCells count="1"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9"/>
  </cols>
  <sheetData>
    <row r="1" customFormat="false" ht="15" hidden="false" customHeight="false" outlineLevel="0" collapsed="false">
      <c r="A1" s="1" t="s">
        <v>30</v>
      </c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</row>
    <row r="4" customFormat="false" ht="15" hidden="false" customHeight="false" outlineLevel="0" collapsed="false">
      <c r="A4" s="17" t="s">
        <v>10</v>
      </c>
      <c r="B4" s="18" t="n">
        <f aca="false">Peer_Data!B5</f>
        <v>77800</v>
      </c>
      <c r="C4" s="19" t="n">
        <f aca="false">Peer_Data!C5</f>
        <v>0.76</v>
      </c>
      <c r="D4" s="20" t="n">
        <f aca="false">B4*C4*365/100000</f>
        <v>215.8172</v>
      </c>
      <c r="E4" s="21" t="n">
        <f aca="false">D4/$D$7*100</f>
        <v>262.264018714388</v>
      </c>
      <c r="F4" s="20" t="n">
        <f aca="false">D4-$D$4</f>
        <v>0</v>
      </c>
      <c r="G4" s="20" t="n">
        <f aca="false">(B4-$B$4)*$C$4*365/100000</f>
        <v>0</v>
      </c>
      <c r="H4" s="20" t="n">
        <f aca="false">(C4-$C$4)*B4*365/100000</f>
        <v>0</v>
      </c>
    </row>
    <row r="5" customFormat="false" ht="15" hidden="false" customHeight="false" outlineLevel="0" collapsed="false">
      <c r="A5" s="17" t="s">
        <v>13</v>
      </c>
      <c r="B5" s="18" t="n">
        <f aca="false">Peer_Data!B6</f>
        <v>68767.1232876712</v>
      </c>
      <c r="C5" s="19" t="n">
        <f aca="false">Peer_Data!C6</f>
        <v>0.68</v>
      </c>
      <c r="D5" s="20" t="n">
        <f aca="false">B5*C5*365/100000</f>
        <v>170.68</v>
      </c>
      <c r="E5" s="21" t="n">
        <f aca="false">D5/$D$7*100</f>
        <v>207.412674773706</v>
      </c>
      <c r="F5" s="20" t="n">
        <f aca="false">D5-$D$4</f>
        <v>-45.1372000000001</v>
      </c>
      <c r="G5" s="20" t="n">
        <f aca="false">(B5-$B$4)*$C$4*365/100000</f>
        <v>-25.0572</v>
      </c>
      <c r="H5" s="20" t="n">
        <f aca="false">(C5-$C$4)*B5*365/100000</f>
        <v>-20.08</v>
      </c>
    </row>
    <row r="6" customFormat="false" ht="15" hidden="false" customHeight="false" outlineLevel="0" collapsed="false">
      <c r="A6" s="17" t="s">
        <v>16</v>
      </c>
      <c r="B6" s="18" t="n">
        <f aca="false">Peer_Data!B7</f>
        <v>66550</v>
      </c>
      <c r="C6" s="19" t="n">
        <f aca="false">Peer_Data!C7</f>
        <v>0.62</v>
      </c>
      <c r="D6" s="20" t="n">
        <f aca="false">B6*C6*365/100000</f>
        <v>150.60265</v>
      </c>
      <c r="E6" s="21" t="n">
        <f aca="false">D6/$D$7*100</f>
        <v>183.01440394017</v>
      </c>
      <c r="F6" s="20" t="n">
        <f aca="false">D6-$D$4</f>
        <v>-65.21455</v>
      </c>
      <c r="G6" s="20" t="n">
        <f aca="false">(B6-$B$4)*$C$4*365/100000</f>
        <v>-31.2075</v>
      </c>
      <c r="H6" s="20" t="n">
        <f aca="false">(C6-$C$4)*B6*365/100000</f>
        <v>-34.00705</v>
      </c>
    </row>
    <row r="7" customFormat="false" ht="15" hidden="false" customHeight="false" outlineLevel="0" collapsed="false">
      <c r="A7" s="17" t="s">
        <v>19</v>
      </c>
      <c r="B7" s="18" t="n">
        <f aca="false">Peer_Data!B8</f>
        <v>44644</v>
      </c>
      <c r="C7" s="19" t="n">
        <f aca="false">Peer_Data!C8</f>
        <v>0.505</v>
      </c>
      <c r="D7" s="20" t="n">
        <f aca="false">B7*C7*365/100000</f>
        <v>82.290053</v>
      </c>
      <c r="E7" s="21" t="n">
        <f aca="false">D7/$D$7*100</f>
        <v>100</v>
      </c>
      <c r="F7" s="20" t="n">
        <f aca="false">D7-$D$4</f>
        <v>-133.527147</v>
      </c>
      <c r="G7" s="20" t="n">
        <f aca="false">(B7-$B$4)*$C$4*365/100000</f>
        <v>-91.974744</v>
      </c>
      <c r="H7" s="20" t="n">
        <f aca="false">(C7-$C$4)*B7*365/100000</f>
        <v>-41.552403</v>
      </c>
    </row>
    <row r="9" customFormat="false" ht="45" hidden="false" customHeight="true" outlineLevel="0" collapsed="false">
      <c r="A9" s="16" t="s">
        <v>36</v>
      </c>
      <c r="B9" s="16"/>
      <c r="C9" s="16"/>
      <c r="D9" s="16"/>
      <c r="E9" s="16"/>
      <c r="F9" s="16"/>
      <c r="G9" s="16"/>
      <c r="H9" s="16"/>
    </row>
    <row r="11" customFormat="false" ht="15" hidden="false" customHeight="false" outlineLevel="0" collapsed="false">
      <c r="A11" s="12" t="s">
        <v>37</v>
      </c>
      <c r="F11" s="22" t="n">
        <f aca="false">SUMPRODUCT(G5:G7+H5:H7-F5:F7)</f>
        <v>0</v>
      </c>
    </row>
  </sheetData>
  <mergeCells count="1"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6" min="4" style="0" width="20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17" t="s">
        <v>40</v>
      </c>
      <c r="B4" s="23" t="n">
        <v>2000</v>
      </c>
      <c r="C4" s="24" t="s">
        <v>41</v>
      </c>
    </row>
    <row r="5" customFormat="false" ht="30" hidden="false" customHeight="true" outlineLevel="0" collapsed="false">
      <c r="A5" s="17" t="s">
        <v>42</v>
      </c>
      <c r="B5" s="25" t="n">
        <v>0.6</v>
      </c>
      <c r="C5" s="24" t="s">
        <v>43</v>
      </c>
    </row>
    <row r="6" customFormat="false" ht="30" hidden="false" customHeight="true" outlineLevel="0" collapsed="false">
      <c r="A6" s="17" t="s">
        <v>44</v>
      </c>
      <c r="B6" s="23" t="n">
        <v>55000</v>
      </c>
      <c r="C6" s="24" t="s">
        <v>45</v>
      </c>
    </row>
    <row r="7" customFormat="false" ht="30" hidden="false" customHeight="true" outlineLevel="0" collapsed="false">
      <c r="A7" s="17" t="s">
        <v>46</v>
      </c>
      <c r="B7" s="25" t="n">
        <v>0.2</v>
      </c>
      <c r="C7" s="24" t="s">
        <v>47</v>
      </c>
    </row>
    <row r="8" customFormat="false" ht="51.75" hidden="false" customHeight="true" outlineLevel="0" collapsed="false">
      <c r="A8" s="17" t="s">
        <v>48</v>
      </c>
      <c r="B8" s="26" t="n">
        <v>0.45</v>
      </c>
      <c r="C8" s="24" t="s">
        <v>49</v>
      </c>
    </row>
    <row r="9" customFormat="false" ht="30" hidden="false" customHeight="true" outlineLevel="0" collapsed="false">
      <c r="A9" s="17" t="s">
        <v>50</v>
      </c>
      <c r="B9" s="27" t="n">
        <v>4</v>
      </c>
      <c r="C9" s="24" t="s">
        <v>51</v>
      </c>
    </row>
    <row r="10" customFormat="false" ht="30" hidden="false" customHeight="true" outlineLevel="0" collapsed="false">
      <c r="A10" s="17" t="s">
        <v>52</v>
      </c>
      <c r="B10" s="25" t="n">
        <v>0.05</v>
      </c>
      <c r="C10" s="24" t="s">
        <v>53</v>
      </c>
    </row>
    <row r="11" customFormat="false" ht="30" hidden="false" customHeight="true" outlineLevel="0" collapsed="false">
      <c r="A11" s="17" t="s">
        <v>54</v>
      </c>
      <c r="B11" s="27" t="n">
        <v>0.5</v>
      </c>
      <c r="C11" s="24" t="s">
        <v>53</v>
      </c>
    </row>
    <row r="12" customFormat="false" ht="51.75" hidden="false" customHeight="true" outlineLevel="0" collapsed="false">
      <c r="A12" s="17" t="s">
        <v>55</v>
      </c>
      <c r="B12" s="28" t="n">
        <v>0.5</v>
      </c>
      <c r="C12" s="24" t="s">
        <v>56</v>
      </c>
    </row>
    <row r="14" customFormat="false" ht="15" hidden="false" customHeight="false" outlineLevel="0" collapsed="false">
      <c r="A14" s="12" t="s">
        <v>57</v>
      </c>
    </row>
    <row r="15" customFormat="false" ht="15" hidden="false" customHeight="false" outlineLevel="0" collapsed="false">
      <c r="A15" s="17" t="s">
        <v>7</v>
      </c>
      <c r="B15" s="29" t="n">
        <f aca="false">B4*B5*365*B6/10000000</f>
        <v>2409</v>
      </c>
    </row>
    <row r="16" customFormat="false" ht="15" hidden="false" customHeight="false" outlineLevel="0" collapsed="false">
      <c r="A16" s="17" t="s">
        <v>58</v>
      </c>
      <c r="B16" s="29" t="n">
        <f aca="false">B15*B7</f>
        <v>481.8</v>
      </c>
    </row>
    <row r="17" customFormat="false" ht="15" hidden="false" customHeight="false" outlineLevel="0" collapsed="false">
      <c r="A17" s="17" t="s">
        <v>59</v>
      </c>
      <c r="B17" s="29" t="n">
        <f aca="false">B15*B8-B16</f>
        <v>602.25</v>
      </c>
    </row>
    <row r="19" customFormat="false" ht="15" hidden="false" customHeight="false" outlineLevel="0" collapsed="false">
      <c r="A19" s="12" t="s">
        <v>60</v>
      </c>
    </row>
    <row r="20" customFormat="false" ht="23.85" hidden="false" customHeight="false" outlineLevel="0" collapsed="false">
      <c r="A20" s="3" t="s">
        <v>61</v>
      </c>
      <c r="B20" s="3" t="s">
        <v>7</v>
      </c>
      <c r="C20" s="3" t="s">
        <v>58</v>
      </c>
      <c r="D20" s="3" t="s">
        <v>62</v>
      </c>
      <c r="E20" s="3" t="s">
        <v>63</v>
      </c>
      <c r="F20" s="3" t="s">
        <v>64</v>
      </c>
    </row>
    <row r="21" customFormat="false" ht="15" hidden="false" customHeight="false" outlineLevel="0" collapsed="false">
      <c r="A21" s="17" t="s">
        <v>65</v>
      </c>
      <c r="B21" s="29" t="n">
        <f aca="false">B4*(B5+B10)*365*B6/10000000</f>
        <v>2609.75</v>
      </c>
      <c r="C21" s="29" t="n">
        <f aca="false">$B$16+(B21-$B$15)*$B$8</f>
        <v>572.1375</v>
      </c>
      <c r="D21" s="29" t="n">
        <f aca="false">C21-$B$16</f>
        <v>90.3375</v>
      </c>
      <c r="E21" s="30" t="n">
        <f aca="false">D21/$B$16</f>
        <v>0.1875</v>
      </c>
      <c r="F21" s="30" t="n">
        <f aca="false">C21/B21</f>
        <v>0.219230769230769</v>
      </c>
    </row>
    <row r="22" customFormat="false" ht="15" hidden="false" customHeight="false" outlineLevel="0" collapsed="false">
      <c r="A22" s="17" t="s">
        <v>66</v>
      </c>
      <c r="B22" s="29" t="n">
        <f aca="false">B4*B5*365*B6*(1+B12*(B11/B9))/10000000</f>
        <v>2559.5625</v>
      </c>
      <c r="C22" s="29" t="n">
        <f aca="false">$B$16+(B22-$B$15)*$B$8</f>
        <v>549.553125</v>
      </c>
      <c r="D22" s="29" t="n">
        <f aca="false">C22-$B$16</f>
        <v>67.753125</v>
      </c>
      <c r="E22" s="30" t="n">
        <f aca="false">D22/$B$16</f>
        <v>0.140625</v>
      </c>
      <c r="F22" s="30" t="n">
        <f aca="false">C22/B22</f>
        <v>0.214705882352941</v>
      </c>
    </row>
    <row r="23" customFormat="false" ht="15" hidden="false" customHeight="false" outlineLevel="0" collapsed="false">
      <c r="A23" s="17" t="s">
        <v>67</v>
      </c>
      <c r="B23" s="29" t="n">
        <f aca="false">B4*(B5+B10)*365*B6*(1+B12*(B11/B9))/10000000</f>
        <v>2772.859375</v>
      </c>
      <c r="C23" s="29" t="n">
        <f aca="false">$B$16+(B23-$B$15)*$B$8</f>
        <v>645.53671875</v>
      </c>
      <c r="D23" s="29" t="n">
        <f aca="false">C23-$B$16</f>
        <v>163.73671875</v>
      </c>
      <c r="E23" s="30" t="n">
        <f aca="false">D23/$B$16</f>
        <v>0.33984375</v>
      </c>
      <c r="F23" s="30" t="n">
        <f aca="false">C23/B23</f>
        <v>0.232805429864253</v>
      </c>
    </row>
    <row r="24" customFormat="false" ht="15" hidden="false" customHeight="false" outlineLevel="0" collapsed="false">
      <c r="A24" s="2" t="s">
        <v>68</v>
      </c>
    </row>
    <row r="26" customFormat="false" ht="15" hidden="false" customHeight="false" outlineLevel="0" collapsed="false">
      <c r="A26" s="12" t="s">
        <v>69</v>
      </c>
    </row>
    <row r="27" customFormat="false" ht="15" hidden="false" customHeight="false" outlineLevel="0" collapsed="false">
      <c r="A27" s="12" t="s">
        <v>70</v>
      </c>
      <c r="B27" s="31" t="n">
        <v>0.35</v>
      </c>
      <c r="C27" s="31" t="n">
        <v>0.45</v>
      </c>
      <c r="D27" s="31" t="n">
        <v>0.55</v>
      </c>
    </row>
    <row r="28" customFormat="false" ht="15" hidden="false" customHeight="false" outlineLevel="0" collapsed="false">
      <c r="A28" s="32" t="n">
        <v>45000</v>
      </c>
      <c r="B28" s="29" t="n">
        <f aca="false">$B$4*$B$10*365*$A28/10000000*B$27</f>
        <v>57.4875</v>
      </c>
      <c r="C28" s="29" t="n">
        <f aca="false">$B$4*$B$10*365*$A28/10000000*C$27</f>
        <v>73.9125</v>
      </c>
      <c r="D28" s="29" t="n">
        <f aca="false">$B$4*$B$10*365*$A28/10000000*D$27</f>
        <v>90.3375</v>
      </c>
    </row>
    <row r="29" customFormat="false" ht="15" hidden="false" customHeight="false" outlineLevel="0" collapsed="false">
      <c r="A29" s="32" t="n">
        <v>55000</v>
      </c>
      <c r="B29" s="29" t="n">
        <f aca="false">$B$4*$B$10*365*$A29/10000000*B$27</f>
        <v>70.2625</v>
      </c>
      <c r="C29" s="29" t="n">
        <f aca="false">$B$4*$B$10*365*$A29/10000000*C$27</f>
        <v>90.3375</v>
      </c>
      <c r="D29" s="29" t="n">
        <f aca="false">$B$4*$B$10*365*$A29/10000000*D$27</f>
        <v>110.4125</v>
      </c>
    </row>
    <row r="30" customFormat="false" ht="15" hidden="false" customHeight="false" outlineLevel="0" collapsed="false">
      <c r="A30" s="32" t="n">
        <v>65000</v>
      </c>
      <c r="B30" s="29" t="n">
        <f aca="false">$B$4*$B$10*365*$A30/10000000*B$27</f>
        <v>83.0375</v>
      </c>
      <c r="C30" s="29" t="n">
        <f aca="false">$B$4*$B$10*365*$A30/10000000*C$27</f>
        <v>106.7625</v>
      </c>
      <c r="D30" s="29" t="n">
        <f aca="false">$B$4*$B$10*365*$A30/10000000*D$27</f>
        <v>130.4875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2026-10-04T17:19:14Z</dcterms:created>
  <dc:creator>openpyxl</dc:creator>
  <dc:description/>
  <dc:language>en-US</dc:language>
  <cp:lastModifiedBy/>
  <dcterms:modified xsi:type="dcterms:W3CDTF">2026-10-04T17:19:14Z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